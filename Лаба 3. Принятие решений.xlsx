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 filterPrivacy="1"/>
  <xr:revisionPtr revIDLastSave="0" documentId="13_ncr:1_{7BA5B49A-2C14-4796-820F-5D5FBBCC63E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1" l="1"/>
  <c r="J11" i="1"/>
  <c r="K5" i="1"/>
  <c r="K6" i="1" s="1"/>
  <c r="L5" i="1"/>
  <c r="L6" i="1" s="1"/>
  <c r="M5" i="1"/>
  <c r="M7" i="1" s="1"/>
  <c r="J5" i="1"/>
  <c r="J6" i="1" s="1"/>
  <c r="L7" i="1" l="1"/>
  <c r="M6" i="1"/>
  <c r="K7" i="1"/>
  <c r="J7" i="1"/>
  <c r="J13" i="1" s="1"/>
  <c r="J14" i="1" s="1"/>
</calcChain>
</file>

<file path=xl/sharedStrings.xml><?xml version="1.0" encoding="utf-8"?>
<sst xmlns="http://schemas.openxmlformats.org/spreadsheetml/2006/main" count="33" uniqueCount="23">
  <si>
    <t>Эксперты</t>
  </si>
  <si>
    <t>Эксперт 1</t>
  </si>
  <si>
    <t>Эксперт 2</t>
  </si>
  <si>
    <t>Эксперт 3</t>
  </si>
  <si>
    <t>Альтернативы</t>
  </si>
  <si>
    <t>А1</t>
  </si>
  <si>
    <t>А2</t>
  </si>
  <si>
    <t>А3</t>
  </si>
  <si>
    <t>А4</t>
  </si>
  <si>
    <t>Метод предпочтения</t>
  </si>
  <si>
    <t>Сумма рангов Sj</t>
  </si>
  <si>
    <t>итоговый ранг</t>
  </si>
  <si>
    <t>(Sj - A)^2</t>
  </si>
  <si>
    <t>A1</t>
  </si>
  <si>
    <t>A2</t>
  </si>
  <si>
    <t>A3</t>
  </si>
  <si>
    <t>A4</t>
  </si>
  <si>
    <t>M (Эксперты)</t>
  </si>
  <si>
    <t>N (Альтернативы)</t>
  </si>
  <si>
    <t>N^3 - N</t>
  </si>
  <si>
    <t>Среднее A</t>
  </si>
  <si>
    <t>W (Конкордация)</t>
  </si>
  <si>
    <t>Сумма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</si>
</sst>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3" xfId="0" applyBorder="1"/>
    <xf numFmtId="0" fontId="0" fillId="0" borderId="1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/>
    <xf numFmtId="0" fontId="0" fillId="0" borderId="13" xfId="0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H17" sqref="H17"/>
    </sheetView>
  </sheetViews>
  <sheetFormatPr defaultRowHeight="15" x14ac:dyDescent="0.25"/>
  <sheetData>
    <row r="1" spans="1:13" x14ac:dyDescent="0.25">
      <c r="A1" s="7" t="s">
        <v>0</v>
      </c>
      <c r="B1" s="15" t="s">
        <v>4</v>
      </c>
      <c r="C1" s="16"/>
      <c r="D1" s="16"/>
      <c r="E1" s="17"/>
      <c r="G1" s="23"/>
      <c r="H1" s="21" t="s">
        <v>9</v>
      </c>
      <c r="I1" s="21"/>
      <c r="J1" s="21"/>
      <c r="K1" s="21"/>
      <c r="L1" s="21"/>
      <c r="M1" s="21"/>
    </row>
    <row r="2" spans="1:13" x14ac:dyDescent="0.25">
      <c r="A2" s="9"/>
      <c r="B2" s="18"/>
      <c r="C2" s="19"/>
      <c r="D2" s="19"/>
      <c r="E2" s="20"/>
      <c r="G2" s="23"/>
      <c r="H2" s="21"/>
      <c r="I2" s="21"/>
      <c r="J2" s="21"/>
      <c r="K2" s="21"/>
      <c r="L2" s="21"/>
      <c r="M2" s="21"/>
    </row>
    <row r="3" spans="1:13" x14ac:dyDescent="0.25">
      <c r="A3" s="8"/>
      <c r="B3" s="6" t="s">
        <v>5</v>
      </c>
      <c r="C3" s="6" t="s">
        <v>6</v>
      </c>
      <c r="D3" s="6" t="s">
        <v>7</v>
      </c>
      <c r="E3" s="5" t="s">
        <v>8</v>
      </c>
      <c r="H3" s="2"/>
      <c r="I3" s="3"/>
      <c r="J3" s="10" t="s">
        <v>4</v>
      </c>
      <c r="K3" s="11"/>
      <c r="L3" s="11"/>
      <c r="M3" s="12"/>
    </row>
    <row r="4" spans="1:13" x14ac:dyDescent="0.25">
      <c r="A4" s="6" t="s">
        <v>1</v>
      </c>
      <c r="B4" s="6">
        <v>5</v>
      </c>
      <c r="C4" s="6">
        <v>3</v>
      </c>
      <c r="D4" s="6">
        <v>7</v>
      </c>
      <c r="E4" s="5">
        <v>9</v>
      </c>
      <c r="G4" s="1"/>
      <c r="H4" s="19"/>
      <c r="I4" s="20"/>
      <c r="J4" s="22" t="s">
        <v>13</v>
      </c>
      <c r="K4" s="13" t="s">
        <v>14</v>
      </c>
      <c r="L4" s="13" t="s">
        <v>15</v>
      </c>
      <c r="M4" s="14" t="s">
        <v>16</v>
      </c>
    </row>
    <row r="5" spans="1:13" x14ac:dyDescent="0.25">
      <c r="A5" s="6" t="s">
        <v>2</v>
      </c>
      <c r="B5" s="6">
        <v>9</v>
      </c>
      <c r="C5" s="6">
        <v>3</v>
      </c>
      <c r="D5" s="6">
        <v>7</v>
      </c>
      <c r="E5" s="5">
        <v>5</v>
      </c>
      <c r="G5" s="1"/>
      <c r="H5" s="10" t="s">
        <v>10</v>
      </c>
      <c r="I5" s="12"/>
      <c r="J5" s="6">
        <f>SUM(B12:B14)</f>
        <v>8</v>
      </c>
      <c r="K5" s="6">
        <f t="shared" ref="K5:M5" si="0">SUM(C12:C14)</f>
        <v>11</v>
      </c>
      <c r="L5" s="6">
        <f t="shared" si="0"/>
        <v>5</v>
      </c>
      <c r="M5" s="6">
        <f t="shared" si="0"/>
        <v>6</v>
      </c>
    </row>
    <row r="6" spans="1:13" x14ac:dyDescent="0.25">
      <c r="A6" s="4" t="s">
        <v>3</v>
      </c>
      <c r="B6" s="4">
        <v>3</v>
      </c>
      <c r="C6" s="4">
        <v>5</v>
      </c>
      <c r="D6" s="4">
        <v>9</v>
      </c>
      <c r="E6" s="3">
        <v>7</v>
      </c>
      <c r="G6" s="1"/>
      <c r="H6" s="10" t="s">
        <v>11</v>
      </c>
      <c r="I6" s="12"/>
      <c r="J6" s="5">
        <f>_xlfn.RANK.EQ(J5,$J$5:$M$5,1)</f>
        <v>3</v>
      </c>
      <c r="K6" s="5">
        <f t="shared" ref="K6:M6" si="1">_xlfn.RANK.EQ(K5,$J$5:$M$5,1)</f>
        <v>4</v>
      </c>
      <c r="L6" s="5">
        <f t="shared" si="1"/>
        <v>1</v>
      </c>
      <c r="M6" s="5">
        <f t="shared" si="1"/>
        <v>2</v>
      </c>
    </row>
    <row r="7" spans="1:13" x14ac:dyDescent="0.25">
      <c r="G7" s="1"/>
      <c r="H7" s="10" t="s">
        <v>12</v>
      </c>
      <c r="I7" s="12"/>
      <c r="J7" s="3">
        <f>(J5 - $J$12)^2</f>
        <v>0.25</v>
      </c>
      <c r="K7" s="3">
        <f t="shared" ref="K7:M7" si="2">(K5 - $J$12)^2</f>
        <v>12.25</v>
      </c>
      <c r="L7" s="3">
        <f t="shared" si="2"/>
        <v>6.25</v>
      </c>
      <c r="M7" s="3">
        <f t="shared" si="2"/>
        <v>2.25</v>
      </c>
    </row>
    <row r="9" spans="1:13" x14ac:dyDescent="0.25">
      <c r="A9" s="7" t="s">
        <v>0</v>
      </c>
      <c r="B9" s="15" t="s">
        <v>4</v>
      </c>
      <c r="C9" s="16"/>
      <c r="D9" s="16"/>
      <c r="E9" s="17"/>
      <c r="H9" s="21" t="s">
        <v>17</v>
      </c>
      <c r="I9" s="21"/>
      <c r="J9">
        <v>3</v>
      </c>
    </row>
    <row r="10" spans="1:13" x14ac:dyDescent="0.25">
      <c r="A10" s="9"/>
      <c r="B10" s="18"/>
      <c r="C10" s="19"/>
      <c r="D10" s="19"/>
      <c r="E10" s="20"/>
      <c r="H10" s="21" t="s">
        <v>18</v>
      </c>
      <c r="I10" s="21"/>
      <c r="J10">
        <v>4</v>
      </c>
    </row>
    <row r="11" spans="1:13" x14ac:dyDescent="0.25">
      <c r="A11" s="8"/>
      <c r="B11" s="6" t="s">
        <v>5</v>
      </c>
      <c r="C11" s="6" t="s">
        <v>6</v>
      </c>
      <c r="D11" s="6" t="s">
        <v>7</v>
      </c>
      <c r="E11" s="5" t="s">
        <v>8</v>
      </c>
      <c r="H11" s="21" t="s">
        <v>19</v>
      </c>
      <c r="I11" s="21"/>
      <c r="J11">
        <f>J10^3 - J10</f>
        <v>60</v>
      </c>
    </row>
    <row r="12" spans="1:13" x14ac:dyDescent="0.25">
      <c r="A12" s="6" t="s">
        <v>1</v>
      </c>
      <c r="B12" s="6">
        <v>3</v>
      </c>
      <c r="C12" s="6">
        <v>4</v>
      </c>
      <c r="D12" s="6">
        <v>2</v>
      </c>
      <c r="E12" s="5">
        <v>1</v>
      </c>
      <c r="H12" s="21" t="s">
        <v>20</v>
      </c>
      <c r="I12" s="21"/>
      <c r="J12">
        <f>J9 *(J10+1)/2</f>
        <v>7.5</v>
      </c>
    </row>
    <row r="13" spans="1:13" x14ac:dyDescent="0.25">
      <c r="A13" s="6" t="s">
        <v>2</v>
      </c>
      <c r="B13" s="6">
        <v>1</v>
      </c>
      <c r="C13" s="6">
        <v>4</v>
      </c>
      <c r="D13" s="6">
        <v>2</v>
      </c>
      <c r="E13" s="5">
        <v>3</v>
      </c>
      <c r="H13" s="21" t="s">
        <v>22</v>
      </c>
      <c r="I13" s="21"/>
      <c r="J13">
        <f>SUM(J7:M7)</f>
        <v>21</v>
      </c>
    </row>
    <row r="14" spans="1:13" x14ac:dyDescent="0.25">
      <c r="A14" s="4" t="s">
        <v>3</v>
      </c>
      <c r="B14" s="4">
        <v>4</v>
      </c>
      <c r="C14" s="4">
        <v>3</v>
      </c>
      <c r="D14" s="4">
        <v>1</v>
      </c>
      <c r="E14" s="3">
        <v>2</v>
      </c>
      <c r="H14" s="21" t="s">
        <v>21</v>
      </c>
      <c r="I14" s="21"/>
      <c r="J14">
        <f>(12 *J13)/(J9^2 * J11)</f>
        <v>0.46666666666666667</v>
      </c>
    </row>
  </sheetData>
  <mergeCells count="16">
    <mergeCell ref="H9:I9"/>
    <mergeCell ref="H10:I10"/>
    <mergeCell ref="H11:I11"/>
    <mergeCell ref="H12:I12"/>
    <mergeCell ref="H13:I13"/>
    <mergeCell ref="H14:I14"/>
    <mergeCell ref="H5:I5"/>
    <mergeCell ref="H4:I4"/>
    <mergeCell ref="H6:I6"/>
    <mergeCell ref="H7:I7"/>
    <mergeCell ref="J3:M3"/>
    <mergeCell ref="H1:M2"/>
    <mergeCell ref="A9:A11"/>
    <mergeCell ref="B9:E10"/>
    <mergeCell ref="A1:A3"/>
    <mergeCell ref="B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2025-10-02T13:52:43Z</dcterms:modified>
</cp:coreProperties>
</file>