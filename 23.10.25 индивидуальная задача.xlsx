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71E34FF-9E94-48C5-878E-11E1B7543BC2}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0" i="1" l="1"/>
  <c r="AN12" i="1" l="1"/>
  <c r="AN11" i="1"/>
  <c r="AN10" i="1"/>
  <c r="AG12" i="1"/>
  <c r="AG11" i="1"/>
  <c r="AG10" i="1"/>
  <c r="Z12" i="1"/>
  <c r="Z11" i="1"/>
  <c r="Z10" i="1"/>
  <c r="S10" i="1"/>
  <c r="S12" i="1"/>
  <c r="S11" i="1"/>
  <c r="K3" i="1"/>
  <c r="K4" i="1"/>
  <c r="K5" i="1"/>
  <c r="K2" i="1"/>
  <c r="AM13" i="1"/>
  <c r="AM18" i="1" s="1"/>
  <c r="AL13" i="1"/>
  <c r="AL18" i="1" s="1"/>
  <c r="AK13" i="1"/>
  <c r="AK18" i="1" s="1"/>
  <c r="AE13" i="1"/>
  <c r="AE17" i="1" s="1"/>
  <c r="AF13" i="1"/>
  <c r="AF17" i="1" s="1"/>
  <c r="AD13" i="1"/>
  <c r="AD18" i="1" s="1"/>
  <c r="X12" i="1"/>
  <c r="X13" i="1" s="1"/>
  <c r="X16" i="1" s="1"/>
  <c r="Y13" i="1"/>
  <c r="Y17" i="1" s="1"/>
  <c r="W13" i="1"/>
  <c r="W18" i="1" s="1"/>
  <c r="Q13" i="1"/>
  <c r="Q18" i="1" s="1"/>
  <c r="P13" i="1"/>
  <c r="P16" i="1" s="1"/>
  <c r="R13" i="1"/>
  <c r="H7" i="1"/>
  <c r="H11" i="1" s="1"/>
  <c r="I7" i="1"/>
  <c r="I12" i="1" s="1"/>
  <c r="J7" i="1"/>
  <c r="J13" i="1" s="1"/>
  <c r="G7" i="1"/>
  <c r="D3" i="1"/>
  <c r="D2" i="1"/>
  <c r="AN18" i="1" l="1"/>
  <c r="AO18" i="1" s="1"/>
  <c r="AN13" i="1"/>
  <c r="AG13" i="1"/>
  <c r="Y18" i="1"/>
  <c r="Z13" i="1"/>
  <c r="S13" i="1"/>
  <c r="T12" i="1" s="1"/>
  <c r="K6" i="1"/>
  <c r="L3" i="1" s="1"/>
  <c r="L5" i="1"/>
  <c r="AD16" i="1"/>
  <c r="AD17" i="1"/>
  <c r="AK16" i="1"/>
  <c r="AL16" i="1"/>
  <c r="AM16" i="1"/>
  <c r="AK17" i="1"/>
  <c r="AL17" i="1"/>
  <c r="AM17" i="1"/>
  <c r="W16" i="1"/>
  <c r="Y16" i="1"/>
  <c r="W17" i="1"/>
  <c r="Z17" i="1" s="1"/>
  <c r="AA17" i="1" s="1"/>
  <c r="AE18" i="1"/>
  <c r="AE16" i="1"/>
  <c r="AF16" i="1"/>
  <c r="AG16" i="1"/>
  <c r="AH16" i="1" s="1"/>
  <c r="AF18" i="1"/>
  <c r="AG18" i="1"/>
  <c r="AH18" i="1" s="1"/>
  <c r="AG17" i="1"/>
  <c r="AH17" i="1" s="1"/>
  <c r="X17" i="1"/>
  <c r="X18" i="1"/>
  <c r="Z18" i="1" s="1"/>
  <c r="AA18" i="1" s="1"/>
  <c r="J11" i="1"/>
  <c r="R18" i="1"/>
  <c r="R17" i="1"/>
  <c r="G10" i="1"/>
  <c r="G11" i="1"/>
  <c r="G12" i="1"/>
  <c r="G13" i="1"/>
  <c r="I13" i="1"/>
  <c r="P17" i="1"/>
  <c r="H10" i="1"/>
  <c r="P18" i="1"/>
  <c r="H12" i="1"/>
  <c r="Q17" i="1"/>
  <c r="I11" i="1"/>
  <c r="J12" i="1"/>
  <c r="Q16" i="1"/>
  <c r="R16" i="1"/>
  <c r="I10" i="1"/>
  <c r="H13" i="1"/>
  <c r="J10" i="1"/>
  <c r="Z16" i="1" l="1"/>
  <c r="AA16" i="1" s="1"/>
  <c r="AA19" i="1" s="1"/>
  <c r="T10" i="1"/>
  <c r="T11" i="1"/>
  <c r="S18" i="1"/>
  <c r="T18" i="1"/>
  <c r="H26" i="1"/>
  <c r="L2" i="1"/>
  <c r="L4" i="1"/>
  <c r="AN17" i="1"/>
  <c r="AO17" i="1" s="1"/>
  <c r="AN16" i="1"/>
  <c r="AO16" i="1" s="1"/>
  <c r="AH19" i="1"/>
  <c r="S16" i="1"/>
  <c r="K12" i="1"/>
  <c r="S17" i="1"/>
  <c r="K13" i="1"/>
  <c r="K11" i="1"/>
  <c r="K10" i="1"/>
  <c r="AO19" i="1" l="1"/>
  <c r="T17" i="1"/>
  <c r="H25" i="1"/>
  <c r="T16" i="1"/>
  <c r="H24" i="1"/>
  <c r="L10" i="1"/>
  <c r="N25" i="1"/>
  <c r="N26" i="1"/>
  <c r="N24" i="1"/>
  <c r="L11" i="1"/>
  <c r="O25" i="1"/>
  <c r="O26" i="1"/>
  <c r="O24" i="1"/>
  <c r="L13" i="1"/>
  <c r="Q26" i="1"/>
  <c r="Q24" i="1"/>
  <c r="Q25" i="1"/>
  <c r="L12" i="1"/>
  <c r="P25" i="1"/>
  <c r="P26" i="1"/>
  <c r="P24" i="1"/>
  <c r="T19" i="1"/>
  <c r="R24" i="1" l="1"/>
  <c r="S24" i="1" s="1"/>
  <c r="R26" i="1"/>
  <c r="S26" i="1" s="1"/>
  <c r="R25" i="1"/>
  <c r="S25" i="1" s="1"/>
  <c r="L14" i="1"/>
  <c r="S27" i="1" l="1"/>
</calcChain>
</file>

<file path=xl/sharedStrings.xml><?xml version="1.0" encoding="utf-8"?>
<sst xmlns="http://schemas.openxmlformats.org/spreadsheetml/2006/main" count="118" uniqueCount="25">
  <si>
    <t>Альт</t>
  </si>
  <si>
    <t>Критерии</t>
  </si>
  <si>
    <t>Цена</t>
  </si>
  <si>
    <t>Удалённость</t>
  </si>
  <si>
    <t xml:space="preserve">удобство </t>
  </si>
  <si>
    <t>Технолог</t>
  </si>
  <si>
    <t>Ср Знач</t>
  </si>
  <si>
    <t>Процент</t>
  </si>
  <si>
    <t>СР ЗНАЧ</t>
  </si>
  <si>
    <t>Проц</t>
  </si>
  <si>
    <t>СУММ</t>
  </si>
  <si>
    <t>СРГЕОМ</t>
  </si>
  <si>
    <t>СР НОРМ</t>
  </si>
  <si>
    <t>ЦЖ</t>
  </si>
  <si>
    <t>КАР</t>
  </si>
  <si>
    <t xml:space="preserve">КАР </t>
  </si>
  <si>
    <t>КЛМ</t>
  </si>
  <si>
    <t>КУЛ</t>
  </si>
  <si>
    <t>NYC</t>
  </si>
  <si>
    <t>Лондон</t>
  </si>
  <si>
    <t>Токио</t>
  </si>
  <si>
    <t>Цена Жизни</t>
  </si>
  <si>
    <t>Карьера</t>
  </si>
  <si>
    <t>Климат/Экология</t>
  </si>
  <si>
    <t>Культура/Развлечения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</si>
</sst>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2" fontId="3" fillId="0" borderId="4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justify" vertical="center" wrapText="1"/>
    </xf>
    <xf numFmtId="2" fontId="0" fillId="0" borderId="0" xfId="0" applyNumberFormat="1"/>
    <xf numFmtId="0" fontId="2" fillId="0" borderId="5" xfId="0" applyFont="1" applyFill="1" applyBorder="1" applyAlignment="1">
      <alignment vertical="center" wrapText="1"/>
    </xf>
    <xf numFmtId="2" fontId="3" fillId="0" borderId="5" xfId="0" applyNumberFormat="1" applyFont="1" applyFill="1" applyBorder="1" applyAlignment="1">
      <alignment vertical="center" wrapText="1"/>
    </xf>
    <xf numFmtId="0" fontId="0" fillId="0" borderId="6" xfId="0" applyBorder="1"/>
    <xf numFmtId="0" fontId="2" fillId="0" borderId="0" xfId="0" applyFont="1" applyFill="1" applyBorder="1" applyAlignment="1">
      <alignment vertical="center" wrapText="1"/>
    </xf>
    <xf numFmtId="0" fontId="0" fillId="2" borderId="0" xfId="0" applyFill="1"/>
    <xf numFmtId="2" fontId="0" fillId="3" borderId="0" xfId="0" applyNumberFormat="1" applyFill="1"/>
    <xf numFmtId="0" fontId="5" fillId="2" borderId="2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7"/>
  <sheetViews>
    <sheetView tabSelected="1" zoomScale="70" zoomScaleNormal="70" workbookViewId="0">
      <selection activeCell="U5" sqref="U5"/>
    </sheetView>
  </sheetViews>
  <sheetFormatPr defaultRowHeight="15" x14ac:dyDescent="0.25"/>
  <cols>
    <col min="1" max="1" width="10.42578125" customWidth="1"/>
    <col min="6" max="6" width="12.7109375" customWidth="1"/>
    <col min="10" max="10" width="16.28515625" customWidth="1"/>
    <col min="16" max="16" width="14.42578125" bestFit="1" customWidth="1"/>
    <col min="17" max="17" width="10.5703125" bestFit="1" customWidth="1"/>
    <col min="18" max="18" width="14.42578125" bestFit="1" customWidth="1"/>
  </cols>
  <sheetData>
    <row r="1" spans="1:41" ht="57" thickBot="1" x14ac:dyDescent="0.3">
      <c r="A1" s="1" t="s">
        <v>0</v>
      </c>
      <c r="B1" s="2" t="s">
        <v>18</v>
      </c>
      <c r="C1" s="2" t="s">
        <v>19</v>
      </c>
      <c r="D1" s="2" t="s">
        <v>20</v>
      </c>
      <c r="F1" s="1" t="s">
        <v>1</v>
      </c>
      <c r="G1" s="2" t="s">
        <v>13</v>
      </c>
      <c r="H1" s="2" t="s">
        <v>15</v>
      </c>
      <c r="I1" s="2" t="s">
        <v>16</v>
      </c>
      <c r="J1" s="2" t="s">
        <v>17</v>
      </c>
      <c r="K1" s="8" t="s">
        <v>11</v>
      </c>
      <c r="L1" s="8" t="s">
        <v>12</v>
      </c>
    </row>
    <row r="2" spans="1:41" ht="19.5" thickBot="1" x14ac:dyDescent="0.3">
      <c r="A2" s="2" t="s">
        <v>18</v>
      </c>
      <c r="B2" s="3">
        <v>1</v>
      </c>
      <c r="C2" s="3">
        <v>2</v>
      </c>
      <c r="D2" s="3">
        <f>1/5</f>
        <v>0.2</v>
      </c>
      <c r="F2" s="5" t="s">
        <v>13</v>
      </c>
      <c r="G2" s="4">
        <v>1</v>
      </c>
      <c r="H2" s="4">
        <v>0.2</v>
      </c>
      <c r="I2" s="4">
        <v>1</v>
      </c>
      <c r="J2" s="4">
        <v>0.33</v>
      </c>
      <c r="K2" s="7">
        <f>GEOMEAN(G2:J2)</f>
        <v>0.5068576245587143</v>
      </c>
      <c r="L2">
        <f>K$6/K2</f>
        <v>9.4744990079988565</v>
      </c>
    </row>
    <row r="3" spans="1:41" ht="38.25" thickBot="1" x14ac:dyDescent="0.3">
      <c r="A3" s="2" t="s">
        <v>19</v>
      </c>
      <c r="B3" s="4">
        <v>0.5</v>
      </c>
      <c r="C3" s="3">
        <v>1</v>
      </c>
      <c r="D3" s="3">
        <f>1/6</f>
        <v>0.16666666666666666</v>
      </c>
      <c r="F3" s="5" t="s">
        <v>14</v>
      </c>
      <c r="G3" s="4">
        <v>5</v>
      </c>
      <c r="H3" s="4">
        <v>1</v>
      </c>
      <c r="I3" s="4">
        <v>3</v>
      </c>
      <c r="J3" s="4">
        <v>2</v>
      </c>
      <c r="K3" s="7">
        <f t="shared" ref="K3:K5" si="0">GEOMEAN(G3:J3)</f>
        <v>2.340347319320716</v>
      </c>
      <c r="L3">
        <f t="shared" ref="L3:L5" si="1">K$6/K3</f>
        <v>2.0519270885280552</v>
      </c>
    </row>
    <row r="4" spans="1:41" ht="19.5" thickBot="1" x14ac:dyDescent="0.3">
      <c r="A4" s="2" t="s">
        <v>20</v>
      </c>
      <c r="B4" s="3">
        <v>5</v>
      </c>
      <c r="C4" s="3">
        <v>6</v>
      </c>
      <c r="D4" s="3">
        <v>1</v>
      </c>
      <c r="F4" s="5" t="s">
        <v>16</v>
      </c>
      <c r="G4" s="4">
        <v>1</v>
      </c>
      <c r="H4" s="4">
        <v>0.33333333333333331</v>
      </c>
      <c r="I4" s="4">
        <v>1</v>
      </c>
      <c r="J4" s="4">
        <v>0.5</v>
      </c>
      <c r="K4" s="7">
        <f t="shared" si="0"/>
        <v>0.63894310424627243</v>
      </c>
      <c r="L4">
        <f t="shared" si="1"/>
        <v>7.515883697881244</v>
      </c>
    </row>
    <row r="5" spans="1:41" ht="19.5" thickBot="1" x14ac:dyDescent="0.3">
      <c r="F5" s="6" t="s">
        <v>17</v>
      </c>
      <c r="G5" s="4">
        <v>3</v>
      </c>
      <c r="H5" s="4">
        <v>0.5</v>
      </c>
      <c r="I5" s="4">
        <v>2</v>
      </c>
      <c r="J5" s="4">
        <v>1</v>
      </c>
      <c r="K5" s="7">
        <f t="shared" si="0"/>
        <v>1.3160740129524926</v>
      </c>
      <c r="L5">
        <f t="shared" si="1"/>
        <v>3.6488996924305543</v>
      </c>
    </row>
    <row r="6" spans="1:41" x14ac:dyDescent="0.25">
      <c r="G6" t="s">
        <v>4</v>
      </c>
      <c r="H6" t="s">
        <v>5</v>
      </c>
      <c r="I6" t="s">
        <v>2</v>
      </c>
      <c r="J6" t="s">
        <v>3</v>
      </c>
      <c r="K6" s="7">
        <f>SUM(K2:K5)</f>
        <v>4.8022220610781954</v>
      </c>
    </row>
    <row r="7" spans="1:41" x14ac:dyDescent="0.25">
      <c r="G7" s="7">
        <f>SUM(G2:G5)</f>
        <v>10</v>
      </c>
      <c r="H7" s="7">
        <f t="shared" ref="H7:J7" si="2">SUM(H2:H5)</f>
        <v>2.0333333333333332</v>
      </c>
      <c r="I7" s="7">
        <f t="shared" si="2"/>
        <v>7</v>
      </c>
      <c r="J7" s="7">
        <f t="shared" si="2"/>
        <v>3.83</v>
      </c>
    </row>
    <row r="8" spans="1:41" ht="15.75" thickBot="1" x14ac:dyDescent="0.3"/>
    <row r="9" spans="1:41" ht="75.75" thickBot="1" x14ac:dyDescent="0.3">
      <c r="F9" s="1" t="s">
        <v>1</v>
      </c>
      <c r="G9" s="2" t="s">
        <v>13</v>
      </c>
      <c r="H9" s="2" t="s">
        <v>14</v>
      </c>
      <c r="I9" s="2" t="s">
        <v>16</v>
      </c>
      <c r="J9" s="2" t="s">
        <v>17</v>
      </c>
      <c r="K9" s="8" t="s">
        <v>6</v>
      </c>
      <c r="L9" s="8" t="s">
        <v>7</v>
      </c>
      <c r="O9" s="1" t="s">
        <v>21</v>
      </c>
      <c r="P9" s="2" t="s">
        <v>18</v>
      </c>
      <c r="Q9" s="2" t="s">
        <v>19</v>
      </c>
      <c r="R9" s="2" t="s">
        <v>20</v>
      </c>
      <c r="S9" s="8" t="s">
        <v>11</v>
      </c>
      <c r="T9" s="8" t="s">
        <v>12</v>
      </c>
      <c r="V9" s="1" t="s">
        <v>22</v>
      </c>
      <c r="W9" s="2" t="s">
        <v>18</v>
      </c>
      <c r="X9" s="2" t="s">
        <v>19</v>
      </c>
      <c r="Y9" s="2" t="s">
        <v>20</v>
      </c>
      <c r="Z9" s="8" t="s">
        <v>11</v>
      </c>
      <c r="AC9" s="1" t="s">
        <v>23</v>
      </c>
      <c r="AD9" s="2" t="s">
        <v>18</v>
      </c>
      <c r="AE9" s="2" t="s">
        <v>19</v>
      </c>
      <c r="AF9" s="2" t="s">
        <v>20</v>
      </c>
      <c r="AG9" s="8" t="s">
        <v>11</v>
      </c>
      <c r="AJ9" s="1" t="s">
        <v>24</v>
      </c>
      <c r="AK9" s="2" t="s">
        <v>18</v>
      </c>
      <c r="AL9" s="2" t="s">
        <v>19</v>
      </c>
      <c r="AM9" s="2" t="s">
        <v>20</v>
      </c>
      <c r="AN9" s="8" t="s">
        <v>11</v>
      </c>
    </row>
    <row r="10" spans="1:41" ht="19.5" thickBot="1" x14ac:dyDescent="0.3">
      <c r="F10" s="5" t="s">
        <v>13</v>
      </c>
      <c r="G10" s="4">
        <f>G2/G$7</f>
        <v>0.1</v>
      </c>
      <c r="H10" s="4">
        <f>H2/H$7</f>
        <v>9.836065573770493E-2</v>
      </c>
      <c r="I10" s="4">
        <f>I2/I$7</f>
        <v>0.14285714285714285</v>
      </c>
      <c r="J10" s="4">
        <f>J2/J$7</f>
        <v>8.6161879895561358E-2</v>
      </c>
      <c r="K10" s="9">
        <f>SUM(G10:J10)/4</f>
        <v>0.10684491962260229</v>
      </c>
      <c r="L10" s="9">
        <f>K10*100</f>
        <v>10.684491962260228</v>
      </c>
      <c r="O10" s="2" t="s">
        <v>18</v>
      </c>
      <c r="P10" s="3">
        <v>1</v>
      </c>
      <c r="Q10" s="4">
        <v>0.33</v>
      </c>
      <c r="R10" s="4">
        <f>0.14</f>
        <v>0.14000000000000001</v>
      </c>
      <c r="S10" s="7">
        <f>GEOMEAN(O10:R10)</f>
        <v>0.35882331863127931</v>
      </c>
      <c r="T10">
        <f>S$13/S10</f>
        <v>11.466375719725413</v>
      </c>
      <c r="V10" s="2" t="s">
        <v>18</v>
      </c>
      <c r="W10" s="3">
        <v>1</v>
      </c>
      <c r="X10" s="4">
        <v>3</v>
      </c>
      <c r="Y10" s="4">
        <v>5</v>
      </c>
      <c r="Z10" s="7">
        <f>GEOMEAN(V10:Y10)</f>
        <v>2.4662120743304699</v>
      </c>
      <c r="AC10" s="2" t="s">
        <v>18</v>
      </c>
      <c r="AD10" s="3">
        <v>1</v>
      </c>
      <c r="AE10" s="4">
        <v>0.33</v>
      </c>
      <c r="AF10" s="4">
        <v>0.2</v>
      </c>
      <c r="AG10" s="7">
        <f>GEOMEAN(AC10:AF10)</f>
        <v>0.40412400206221905</v>
      </c>
      <c r="AJ10" s="2" t="s">
        <v>18</v>
      </c>
      <c r="AK10" s="3">
        <v>1</v>
      </c>
      <c r="AL10" s="4">
        <v>2</v>
      </c>
      <c r="AM10" s="4">
        <v>3</v>
      </c>
      <c r="AN10" s="7">
        <f>GEOMEAN(AJ10:AM10)</f>
        <v>1.8171205928321397</v>
      </c>
    </row>
    <row r="11" spans="1:41" ht="38.25" thickBot="1" x14ac:dyDescent="0.3">
      <c r="F11" s="5" t="s">
        <v>14</v>
      </c>
      <c r="G11" s="4">
        <f t="shared" ref="G11:J13" si="3">G3/G$7</f>
        <v>0.5</v>
      </c>
      <c r="H11" s="4">
        <f t="shared" si="3"/>
        <v>0.49180327868852464</v>
      </c>
      <c r="I11" s="4">
        <f t="shared" si="3"/>
        <v>0.42857142857142855</v>
      </c>
      <c r="J11" s="4">
        <f t="shared" si="3"/>
        <v>0.5221932114882506</v>
      </c>
      <c r="K11" s="9">
        <f t="shared" ref="K11:K13" si="4">SUM(G11:J11)/4</f>
        <v>0.48564197968705097</v>
      </c>
      <c r="L11" s="9">
        <f t="shared" ref="L11:L13" si="5">K11*100</f>
        <v>48.564197968705095</v>
      </c>
      <c r="O11" s="2" t="s">
        <v>19</v>
      </c>
      <c r="P11" s="4">
        <v>3</v>
      </c>
      <c r="Q11" s="3">
        <v>1</v>
      </c>
      <c r="R11" s="4">
        <v>0.33</v>
      </c>
      <c r="S11" s="7">
        <f t="shared" ref="S11:S12" si="6">GEOMEAN(O11:R11)</f>
        <v>0.9966554934125964</v>
      </c>
      <c r="T11">
        <f t="shared" ref="T11:T12" si="7">S$13/S11</f>
        <v>4.1282098133398959</v>
      </c>
      <c r="V11" s="2" t="s">
        <v>19</v>
      </c>
      <c r="W11" s="4">
        <v>0.33333333333333331</v>
      </c>
      <c r="X11" s="3">
        <v>1</v>
      </c>
      <c r="Y11" s="4">
        <v>2</v>
      </c>
      <c r="Z11" s="7">
        <f t="shared" ref="Z11:Z12" si="8">GEOMEAN(V11:Y11)</f>
        <v>0.87358046473629891</v>
      </c>
      <c r="AC11" s="2" t="s">
        <v>19</v>
      </c>
      <c r="AD11" s="4">
        <v>3</v>
      </c>
      <c r="AE11" s="3">
        <v>1</v>
      </c>
      <c r="AF11" s="4">
        <v>0.5</v>
      </c>
      <c r="AG11" s="7">
        <f t="shared" ref="AG11:AG12" si="9">GEOMEAN(AC11:AF11)</f>
        <v>1.1447142425533319</v>
      </c>
      <c r="AJ11" s="2" t="s">
        <v>19</v>
      </c>
      <c r="AK11" s="4">
        <v>0.5</v>
      </c>
      <c r="AL11" s="3">
        <v>1</v>
      </c>
      <c r="AM11" s="4">
        <v>2</v>
      </c>
      <c r="AN11" s="7">
        <f t="shared" ref="AN11:AN12" si="10">GEOMEAN(AJ11:AM11)</f>
        <v>1</v>
      </c>
    </row>
    <row r="12" spans="1:41" ht="19.5" thickBot="1" x14ac:dyDescent="0.3">
      <c r="F12" s="5" t="s">
        <v>16</v>
      </c>
      <c r="G12" s="4">
        <f t="shared" si="3"/>
        <v>0.1</v>
      </c>
      <c r="H12" s="4">
        <f t="shared" si="3"/>
        <v>0.16393442622950818</v>
      </c>
      <c r="I12" s="4">
        <f t="shared" si="3"/>
        <v>0.14285714285714285</v>
      </c>
      <c r="J12" s="4">
        <f t="shared" si="3"/>
        <v>0.13054830287206265</v>
      </c>
      <c r="K12" s="9">
        <f t="shared" si="4"/>
        <v>0.13433496798967842</v>
      </c>
      <c r="L12" s="9">
        <f t="shared" si="5"/>
        <v>13.433496798967843</v>
      </c>
      <c r="O12" s="2" t="s">
        <v>20</v>
      </c>
      <c r="P12" s="4">
        <v>7</v>
      </c>
      <c r="Q12" s="3">
        <v>3</v>
      </c>
      <c r="R12" s="3">
        <v>1</v>
      </c>
      <c r="S12" s="7">
        <f t="shared" si="6"/>
        <v>2.7589241763811208</v>
      </c>
      <c r="T12">
        <f t="shared" si="7"/>
        <v>1.4913070187459287</v>
      </c>
      <c r="V12" s="2" t="s">
        <v>20</v>
      </c>
      <c r="W12" s="4">
        <v>0.2</v>
      </c>
      <c r="X12" s="4">
        <f>1/2</f>
        <v>0.5</v>
      </c>
      <c r="Y12" s="3">
        <v>1</v>
      </c>
      <c r="Z12" s="7">
        <f t="shared" si="8"/>
        <v>0.46415888336127792</v>
      </c>
      <c r="AC12" s="2" t="s">
        <v>20</v>
      </c>
      <c r="AD12" s="4">
        <v>5</v>
      </c>
      <c r="AE12" s="4">
        <v>2</v>
      </c>
      <c r="AF12" s="3">
        <v>1</v>
      </c>
      <c r="AG12" s="7">
        <f t="shared" si="9"/>
        <v>2.1544346900318838</v>
      </c>
      <c r="AJ12" s="2" t="s">
        <v>20</v>
      </c>
      <c r="AK12" s="4">
        <v>0.33</v>
      </c>
      <c r="AL12" s="4">
        <v>0.5</v>
      </c>
      <c r="AM12" s="3">
        <v>1</v>
      </c>
      <c r="AN12" s="7">
        <f t="shared" si="10"/>
        <v>0.54848065524326184</v>
      </c>
    </row>
    <row r="13" spans="1:41" ht="19.5" thickBot="1" x14ac:dyDescent="0.3">
      <c r="F13" s="6" t="s">
        <v>17</v>
      </c>
      <c r="G13" s="4">
        <f t="shared" si="3"/>
        <v>0.3</v>
      </c>
      <c r="H13" s="4">
        <f t="shared" si="3"/>
        <v>0.24590163934426232</v>
      </c>
      <c r="I13" s="4">
        <f t="shared" si="3"/>
        <v>0.2857142857142857</v>
      </c>
      <c r="J13" s="4">
        <f t="shared" si="3"/>
        <v>0.2610966057441253</v>
      </c>
      <c r="K13" s="9">
        <f t="shared" si="4"/>
        <v>0.27317813270066832</v>
      </c>
      <c r="L13" s="9">
        <f t="shared" si="5"/>
        <v>27.317813270066832</v>
      </c>
      <c r="P13">
        <f>SUM(P10:P12)</f>
        <v>11</v>
      </c>
      <c r="Q13">
        <f t="shared" ref="Q13:R13" si="11">SUM(Q10:Q12)</f>
        <v>4.33</v>
      </c>
      <c r="R13">
        <f t="shared" si="11"/>
        <v>1.47</v>
      </c>
      <c r="S13" s="7">
        <f>SUM(S10:S12)</f>
        <v>4.1144029884249962</v>
      </c>
      <c r="W13">
        <f>SUM(W10:W12)</f>
        <v>1.5333333333333332</v>
      </c>
      <c r="X13">
        <f t="shared" ref="X13:Y13" si="12">SUM(X10:X12)</f>
        <v>4.5</v>
      </c>
      <c r="Y13">
        <f t="shared" si="12"/>
        <v>8</v>
      </c>
      <c r="Z13" s="7">
        <f>SUM(Z10:Z12)</f>
        <v>3.8039514224280464</v>
      </c>
      <c r="AD13">
        <f>SUM(AD10:AD12)</f>
        <v>9</v>
      </c>
      <c r="AE13">
        <f t="shared" ref="AE13:AF13" si="13">SUM(AE10:AE12)</f>
        <v>3.33</v>
      </c>
      <c r="AF13">
        <f t="shared" si="13"/>
        <v>1.7</v>
      </c>
      <c r="AG13" s="7">
        <f>SUM(AG10:AG12)</f>
        <v>3.7032729346474347</v>
      </c>
      <c r="AK13">
        <f>SUM(AK10:AK12)</f>
        <v>1.83</v>
      </c>
      <c r="AL13">
        <f t="shared" ref="AL13" si="14">SUM(AL10:AL12)</f>
        <v>3.5</v>
      </c>
      <c r="AM13">
        <f t="shared" ref="AM13" si="15">SUM(AM10:AM12)</f>
        <v>6</v>
      </c>
      <c r="AN13" s="7">
        <f>SUM(AN10:AN12)</f>
        <v>3.3656012480754018</v>
      </c>
    </row>
    <row r="14" spans="1:41" ht="15.75" thickBot="1" x14ac:dyDescent="0.3">
      <c r="L14" s="13">
        <f>SUM(L10:L13)</f>
        <v>100</v>
      </c>
    </row>
    <row r="15" spans="1:41" ht="75.75" thickBot="1" x14ac:dyDescent="0.3">
      <c r="O15" s="1" t="s">
        <v>21</v>
      </c>
      <c r="P15" s="2" t="s">
        <v>18</v>
      </c>
      <c r="Q15" s="2" t="s">
        <v>19</v>
      </c>
      <c r="R15" s="2" t="s">
        <v>20</v>
      </c>
      <c r="S15" s="8" t="s">
        <v>8</v>
      </c>
      <c r="T15" s="8" t="s">
        <v>9</v>
      </c>
      <c r="V15" s="1" t="s">
        <v>22</v>
      </c>
      <c r="W15" s="2" t="s">
        <v>18</v>
      </c>
      <c r="X15" s="2" t="s">
        <v>19</v>
      </c>
      <c r="Y15" s="2" t="s">
        <v>20</v>
      </c>
      <c r="Z15" s="8" t="s">
        <v>8</v>
      </c>
      <c r="AA15" s="8" t="s">
        <v>9</v>
      </c>
      <c r="AC15" s="1" t="s">
        <v>23</v>
      </c>
      <c r="AD15" s="2" t="s">
        <v>18</v>
      </c>
      <c r="AE15" s="2" t="s">
        <v>19</v>
      </c>
      <c r="AF15" s="2" t="s">
        <v>20</v>
      </c>
      <c r="AG15" s="8" t="s">
        <v>8</v>
      </c>
      <c r="AH15" s="8" t="s">
        <v>9</v>
      </c>
      <c r="AJ15" s="1" t="s">
        <v>24</v>
      </c>
      <c r="AK15" s="2" t="s">
        <v>18</v>
      </c>
      <c r="AL15" s="2" t="s">
        <v>19</v>
      </c>
      <c r="AM15" s="2" t="s">
        <v>20</v>
      </c>
      <c r="AN15" s="8" t="s">
        <v>8</v>
      </c>
      <c r="AO15" s="8" t="s">
        <v>9</v>
      </c>
    </row>
    <row r="16" spans="1:41" ht="19.5" thickBot="1" x14ac:dyDescent="0.3">
      <c r="O16" s="2" t="s">
        <v>18</v>
      </c>
      <c r="P16" s="3">
        <f>P10/P$13</f>
        <v>9.0909090909090912E-2</v>
      </c>
      <c r="Q16" s="4">
        <f>Q10/Q$13</f>
        <v>7.6212471131639731E-2</v>
      </c>
      <c r="R16" s="4">
        <f>R10/R$13</f>
        <v>9.5238095238095247E-2</v>
      </c>
      <c r="S16">
        <f>SUM(P16:R16)/3</f>
        <v>8.7453219092941958E-2</v>
      </c>
      <c r="T16">
        <f>S16*100</f>
        <v>8.7453219092941961</v>
      </c>
      <c r="V16" s="2" t="s">
        <v>18</v>
      </c>
      <c r="W16" s="3">
        <f>W10/W$13</f>
        <v>0.65217391304347827</v>
      </c>
      <c r="X16" s="4">
        <f>X10/X$13</f>
        <v>0.66666666666666663</v>
      </c>
      <c r="Y16" s="4">
        <f>Y10/Y$13</f>
        <v>0.625</v>
      </c>
      <c r="Z16">
        <f>SUM(W16:Y16)/3</f>
        <v>0.64794685990338163</v>
      </c>
      <c r="AA16">
        <f>Z16*100</f>
        <v>64.794685990338166</v>
      </c>
      <c r="AC16" s="2" t="s">
        <v>18</v>
      </c>
      <c r="AD16" s="3">
        <f>AD10/AD$13</f>
        <v>0.1111111111111111</v>
      </c>
      <c r="AE16" s="4">
        <f>AE10/AE$13</f>
        <v>9.90990990990991E-2</v>
      </c>
      <c r="AF16" s="4">
        <f>AF10/AF$13</f>
        <v>0.11764705882352942</v>
      </c>
      <c r="AG16">
        <f>SUM(AD16:AF16)/3</f>
        <v>0.10928575634457988</v>
      </c>
      <c r="AH16">
        <f>AG16*100</f>
        <v>10.928575634457987</v>
      </c>
      <c r="AJ16" s="2" t="s">
        <v>18</v>
      </c>
      <c r="AK16" s="3">
        <f>AK10/AK$13</f>
        <v>0.54644808743169393</v>
      </c>
      <c r="AL16" s="4">
        <f>AL10/AL$13</f>
        <v>0.5714285714285714</v>
      </c>
      <c r="AM16" s="4">
        <f>AM10/AM$13</f>
        <v>0.5</v>
      </c>
      <c r="AN16">
        <f>SUM(AK16:AM16)/3</f>
        <v>0.53929221962008844</v>
      </c>
      <c r="AO16">
        <f>AN16*100</f>
        <v>53.929221962008846</v>
      </c>
    </row>
    <row r="17" spans="7:41" ht="38.25" thickBot="1" x14ac:dyDescent="0.3">
      <c r="O17" s="2" t="s">
        <v>19</v>
      </c>
      <c r="P17" s="3">
        <f t="shared" ref="P17:R18" si="16">P11/P$13</f>
        <v>0.27272727272727271</v>
      </c>
      <c r="Q17" s="4">
        <f t="shared" si="16"/>
        <v>0.23094688221709006</v>
      </c>
      <c r="R17" s="4">
        <f t="shared" si="16"/>
        <v>0.22448979591836737</v>
      </c>
      <c r="S17">
        <f t="shared" ref="S17:S18" si="17">SUM(P17:R17)/3</f>
        <v>0.24272131695424337</v>
      </c>
      <c r="T17">
        <f t="shared" ref="T17:T18" si="18">S17*100</f>
        <v>24.272131695424338</v>
      </c>
      <c r="V17" s="2" t="s">
        <v>19</v>
      </c>
      <c r="W17" s="3">
        <f t="shared" ref="W17:Y17" si="19">W11/W$13</f>
        <v>0.21739130434782608</v>
      </c>
      <c r="X17" s="4">
        <f t="shared" si="19"/>
        <v>0.22222222222222221</v>
      </c>
      <c r="Y17" s="4">
        <f t="shared" si="19"/>
        <v>0.25</v>
      </c>
      <c r="Z17">
        <f t="shared" ref="Z17:Z18" si="20">SUM(W17:Y17)/3</f>
        <v>0.22987117552334943</v>
      </c>
      <c r="AA17">
        <f t="shared" ref="AA17:AA18" si="21">Z17*100</f>
        <v>22.987117552334944</v>
      </c>
      <c r="AC17" s="2" t="s">
        <v>19</v>
      </c>
      <c r="AD17" s="3">
        <f t="shared" ref="AD17:AF17" si="22">AD11/AD$13</f>
        <v>0.33333333333333331</v>
      </c>
      <c r="AE17" s="4">
        <f t="shared" si="22"/>
        <v>0.3003003003003003</v>
      </c>
      <c r="AF17" s="4">
        <f t="shared" si="22"/>
        <v>0.29411764705882354</v>
      </c>
      <c r="AG17">
        <f t="shared" ref="AG17:AG18" si="23">SUM(AD17:AF17)/3</f>
        <v>0.30925042689748578</v>
      </c>
      <c r="AH17">
        <f t="shared" ref="AH17:AH18" si="24">AG17*100</f>
        <v>30.925042689748576</v>
      </c>
      <c r="AJ17" s="2" t="s">
        <v>19</v>
      </c>
      <c r="AK17" s="3">
        <f t="shared" ref="AK17:AM17" si="25">AK11/AK$13</f>
        <v>0.27322404371584696</v>
      </c>
      <c r="AL17" s="4">
        <f t="shared" si="25"/>
        <v>0.2857142857142857</v>
      </c>
      <c r="AM17" s="4">
        <f t="shared" si="25"/>
        <v>0.33333333333333331</v>
      </c>
      <c r="AN17">
        <f t="shared" ref="AN17:AN18" si="26">SUM(AK17:AM17)/3</f>
        <v>0.29742388758782196</v>
      </c>
      <c r="AO17">
        <f t="shared" ref="AO17:AO18" si="27">AN17*100</f>
        <v>29.742388758782194</v>
      </c>
    </row>
    <row r="18" spans="7:41" ht="19.5" thickBot="1" x14ac:dyDescent="0.3">
      <c r="O18" s="2" t="s">
        <v>20</v>
      </c>
      <c r="P18" s="3">
        <f t="shared" si="16"/>
        <v>0.63636363636363635</v>
      </c>
      <c r="Q18" s="4">
        <f t="shared" si="16"/>
        <v>0.69284064665127021</v>
      </c>
      <c r="R18" s="4">
        <f t="shared" si="16"/>
        <v>0.68027210884353739</v>
      </c>
      <c r="S18">
        <f t="shared" si="17"/>
        <v>0.66982546395281461</v>
      </c>
      <c r="T18">
        <f t="shared" si="18"/>
        <v>66.98254639528146</v>
      </c>
      <c r="V18" s="2" t="s">
        <v>20</v>
      </c>
      <c r="W18" s="3">
        <f t="shared" ref="W18:Y18" si="28">W12/W$13</f>
        <v>0.13043478260869568</v>
      </c>
      <c r="X18" s="4">
        <f t="shared" si="28"/>
        <v>0.1111111111111111</v>
      </c>
      <c r="Y18" s="4">
        <f t="shared" si="28"/>
        <v>0.125</v>
      </c>
      <c r="Z18">
        <f t="shared" si="20"/>
        <v>0.12218196457326892</v>
      </c>
      <c r="AA18">
        <f t="shared" si="21"/>
        <v>12.218196457326892</v>
      </c>
      <c r="AC18" s="2" t="s">
        <v>20</v>
      </c>
      <c r="AD18" s="3">
        <f t="shared" ref="AD18:AF18" si="29">AD12/AD$13</f>
        <v>0.55555555555555558</v>
      </c>
      <c r="AE18" s="4">
        <f t="shared" si="29"/>
        <v>0.60060060060060061</v>
      </c>
      <c r="AF18" s="4">
        <f t="shared" si="29"/>
        <v>0.58823529411764708</v>
      </c>
      <c r="AG18">
        <f t="shared" si="23"/>
        <v>0.58146381675793446</v>
      </c>
      <c r="AH18">
        <f t="shared" si="24"/>
        <v>58.14638167579345</v>
      </c>
      <c r="AJ18" s="2" t="s">
        <v>20</v>
      </c>
      <c r="AK18" s="3">
        <f t="shared" ref="AK18:AM18" si="30">AK12/AK$13</f>
        <v>0.18032786885245902</v>
      </c>
      <c r="AL18" s="4">
        <f t="shared" si="30"/>
        <v>0.14285714285714285</v>
      </c>
      <c r="AM18" s="4">
        <f t="shared" si="30"/>
        <v>0.16666666666666666</v>
      </c>
      <c r="AN18">
        <f t="shared" si="26"/>
        <v>0.16328389279208952</v>
      </c>
      <c r="AO18">
        <f t="shared" si="27"/>
        <v>16.328389279208952</v>
      </c>
    </row>
    <row r="19" spans="7:41" x14ac:dyDescent="0.25">
      <c r="T19">
        <f>SUM(T16:T18)</f>
        <v>100</v>
      </c>
      <c r="AA19">
        <f>SUM(AA16:AA18)</f>
        <v>100.00000000000001</v>
      </c>
      <c r="AH19">
        <f>SUM(AH16:AH18)</f>
        <v>100.00000000000001</v>
      </c>
      <c r="AO19">
        <f>SUM(AO16:AO18)</f>
        <v>99.999999999999986</v>
      </c>
    </row>
    <row r="22" spans="7:41" ht="15.75" thickBot="1" x14ac:dyDescent="0.3"/>
    <row r="23" spans="7:41" ht="19.5" thickBot="1" x14ac:dyDescent="0.3">
      <c r="G23" s="10"/>
      <c r="H23" s="2" t="s">
        <v>13</v>
      </c>
      <c r="I23" s="2" t="s">
        <v>14</v>
      </c>
      <c r="J23" s="2" t="s">
        <v>16</v>
      </c>
      <c r="K23" s="2" t="s">
        <v>17</v>
      </c>
      <c r="L23" s="11"/>
      <c r="M23" s="10"/>
      <c r="N23" s="2" t="s">
        <v>13</v>
      </c>
      <c r="O23" s="2" t="s">
        <v>15</v>
      </c>
      <c r="P23" s="2" t="s">
        <v>16</v>
      </c>
      <c r="Q23" s="2" t="s">
        <v>17</v>
      </c>
      <c r="R23" s="11" t="s">
        <v>10</v>
      </c>
      <c r="S23" s="11" t="s">
        <v>9</v>
      </c>
    </row>
    <row r="24" spans="7:41" ht="19.5" thickBot="1" x14ac:dyDescent="0.3">
      <c r="G24" s="2" t="s">
        <v>18</v>
      </c>
      <c r="H24" s="10">
        <f>$S$16</f>
        <v>8.7453219092941958E-2</v>
      </c>
      <c r="I24" s="10">
        <v>0.125</v>
      </c>
      <c r="J24" s="10">
        <v>0.68136200716845874</v>
      </c>
      <c r="K24" s="10">
        <v>0.35874125874125878</v>
      </c>
      <c r="M24" s="2" t="s">
        <v>18</v>
      </c>
      <c r="N24" s="10">
        <f>H24*K$10</f>
        <v>9.3439321647232117E-3</v>
      </c>
      <c r="O24" s="10">
        <f>K$11 * I24</f>
        <v>6.0705247460881372E-2</v>
      </c>
      <c r="P24" s="10">
        <f>J24*K$12</f>
        <v>9.1530743422357938E-2</v>
      </c>
      <c r="Q24" s="10">
        <f>K$13 * K24</f>
        <v>9.8000267185624379E-2</v>
      </c>
      <c r="R24">
        <f>SUM(N24:Q24)</f>
        <v>0.25958019023358692</v>
      </c>
      <c r="S24">
        <f>R24*100</f>
        <v>25.958019023358691</v>
      </c>
    </row>
    <row r="25" spans="7:41" ht="38.25" thickBot="1" x14ac:dyDescent="0.3">
      <c r="G25" s="2" t="s">
        <v>19</v>
      </c>
      <c r="H25" s="10">
        <f>$S$17</f>
        <v>0.24272131695424337</v>
      </c>
      <c r="I25" s="10">
        <v>0.25</v>
      </c>
      <c r="J25" s="10">
        <v>0.21600955794504184</v>
      </c>
      <c r="K25" s="10">
        <v>0.19650349650349652</v>
      </c>
      <c r="M25" s="2" t="s">
        <v>19</v>
      </c>
      <c r="N25" s="10">
        <f t="shared" ref="N25:N26" si="31">H25*K$10</f>
        <v>2.5933539600668305E-2</v>
      </c>
      <c r="O25" s="10">
        <f t="shared" ref="O25:O26" si="32">K$11 * I25</f>
        <v>0.12141049492176274</v>
      </c>
      <c r="P25" s="10">
        <f t="shared" ref="P25:P26" si="33">J25*K$12</f>
        <v>2.9017637052011783E-2</v>
      </c>
      <c r="Q25" s="10">
        <f t="shared" ref="Q25:Q26" si="34">K$13 * K25</f>
        <v>5.3680458243977484E-2</v>
      </c>
      <c r="R25">
        <f t="shared" ref="R25:R26" si="35">SUM(N25:Q25)</f>
        <v>0.23004212981842032</v>
      </c>
      <c r="S25">
        <f t="shared" ref="S25:S26" si="36">R25*100</f>
        <v>23.004212981842031</v>
      </c>
    </row>
    <row r="26" spans="7:41" ht="19.5" thickBot="1" x14ac:dyDescent="0.3">
      <c r="G26" s="2" t="s">
        <v>20</v>
      </c>
      <c r="H26" s="10">
        <f>$S$18</f>
        <v>0.66982546395281461</v>
      </c>
      <c r="I26" s="10">
        <v>0.625</v>
      </c>
      <c r="J26" s="10">
        <v>0.10262843488649941</v>
      </c>
      <c r="K26" s="10">
        <v>0.44475524475524475</v>
      </c>
      <c r="M26" s="14" t="s">
        <v>20</v>
      </c>
      <c r="N26" s="10">
        <f t="shared" si="31"/>
        <v>7.1567447857210767E-2</v>
      </c>
      <c r="O26" s="10">
        <f t="shared" si="32"/>
        <v>0.30352623730440687</v>
      </c>
      <c r="P26" s="10">
        <f t="shared" si="33"/>
        <v>1.3786587515308694E-2</v>
      </c>
      <c r="Q26" s="10">
        <f t="shared" si="34"/>
        <v>0.12149740727106646</v>
      </c>
      <c r="R26">
        <f t="shared" si="35"/>
        <v>0.51037767994799277</v>
      </c>
      <c r="S26" s="12">
        <f t="shared" si="36"/>
        <v>51.037767994799275</v>
      </c>
    </row>
    <row r="27" spans="7:41" x14ac:dyDescent="0.25">
      <c r="S27">
        <f>SUM(S24:S26)</f>
        <v>100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VMV</dc:creator>
  <cp:lastModifiedBy>User</cp:lastModifiedBy>
  <dcterms:created xsi:type="dcterms:W3CDTF">2015-06-05T18:19:34Z</dcterms:created>
  <dcterms:modified xsi:type="dcterms:W3CDTF">2025-11-20T08:36:05Z</dcterms:modified>
</cp:coreProperties>
</file>